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o Bitencourt\Desktop\GESTÃO_FERRAMENTARIA\Documentos\"/>
    </mc:Choice>
  </mc:AlternateContent>
  <xr:revisionPtr revIDLastSave="0" documentId="13_ncr:1_{9C89AC34-7EFC-45D6-9A27-44F6AC554566}" xr6:coauthVersionLast="36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eças" sheetId="1" r:id="rId1"/>
    <sheet name="Process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0" i="2" l="1"/>
  <c r="G29" i="2"/>
  <c r="G28" i="2"/>
  <c r="G27" i="2"/>
  <c r="G26" i="2"/>
  <c r="G25" i="2"/>
  <c r="A30" i="2"/>
  <c r="A29" i="2"/>
  <c r="A28" i="2"/>
  <c r="A27" i="2"/>
  <c r="A26" i="2"/>
  <c r="A25" i="2"/>
  <c r="G23" i="2"/>
  <c r="G22" i="2"/>
  <c r="G21" i="2"/>
  <c r="G20" i="2"/>
  <c r="G19" i="2"/>
  <c r="A23" i="2"/>
  <c r="A22" i="2"/>
  <c r="A21" i="2"/>
  <c r="A20" i="2"/>
  <c r="A19" i="2"/>
  <c r="G17" i="2"/>
  <c r="A17" i="2"/>
  <c r="G15" i="2"/>
  <c r="G16" i="2"/>
  <c r="G14" i="2"/>
  <c r="G9" i="2"/>
  <c r="G10" i="2"/>
  <c r="G11" i="2"/>
  <c r="G12" i="2"/>
  <c r="G8" i="2"/>
  <c r="G3" i="2"/>
  <c r="G4" i="2"/>
  <c r="G5" i="2"/>
  <c r="G6" i="2"/>
  <c r="G2" i="2"/>
  <c r="A16" i="2"/>
  <c r="A15" i="2"/>
  <c r="A14" i="2"/>
  <c r="A12" i="2" l="1"/>
  <c r="A11" i="2"/>
  <c r="A10" i="2"/>
  <c r="A9" i="2"/>
  <c r="A8" i="2"/>
  <c r="A6" i="2"/>
  <c r="A5" i="2"/>
  <c r="A4" i="2"/>
  <c r="A3" i="2"/>
  <c r="A2" i="2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" i="1"/>
</calcChain>
</file>

<file path=xl/sharedStrings.xml><?xml version="1.0" encoding="utf-8"?>
<sst xmlns="http://schemas.openxmlformats.org/spreadsheetml/2006/main" count="152" uniqueCount="71">
  <si>
    <t>estampo_id</t>
  </si>
  <si>
    <t>pos</t>
  </si>
  <si>
    <t>quantidade</t>
  </si>
  <si>
    <t>nome</t>
  </si>
  <si>
    <t>material</t>
  </si>
  <si>
    <t>Tratamento térmico</t>
  </si>
  <si>
    <t>banco</t>
  </si>
  <si>
    <t>sem tratamento</t>
  </si>
  <si>
    <t>Batente Estabilizador-Ø 31,8 x 71,2</t>
  </si>
  <si>
    <t>Garra 28 x 40 x 190</t>
  </si>
  <si>
    <t>Guia Blank</t>
  </si>
  <si>
    <t>Placa Suporte Cilindros</t>
  </si>
  <si>
    <t>Batente Inferior Ø31,8 x 80</t>
  </si>
  <si>
    <t>Batente Superior Ø31,8 x 92</t>
  </si>
  <si>
    <t>Calço LD</t>
  </si>
  <si>
    <t>Calço LE</t>
  </si>
  <si>
    <t>Calço Superior A</t>
  </si>
  <si>
    <t>Calço Superior B</t>
  </si>
  <si>
    <t>Placa Base Inferior</t>
  </si>
  <si>
    <t>Placa Base Superior</t>
  </si>
  <si>
    <t>Placa Flutuante</t>
  </si>
  <si>
    <t>Placa Prensa Chapa</t>
  </si>
  <si>
    <t>Sujeitador Inferior</t>
  </si>
  <si>
    <t>Suporte Inferior Cilindros</t>
  </si>
  <si>
    <t>Matriz</t>
  </si>
  <si>
    <t>Punção Inferior</t>
  </si>
  <si>
    <t>Punção</t>
  </si>
  <si>
    <t>Chaveta</t>
  </si>
  <si>
    <t>SAE 1020</t>
  </si>
  <si>
    <t>SAE 1045</t>
  </si>
  <si>
    <t>VC 131</t>
  </si>
  <si>
    <t>VND</t>
  </si>
  <si>
    <t>Punção Postiço</t>
  </si>
  <si>
    <t>peca_id</t>
  </si>
  <si>
    <t>nome_operacao</t>
  </si>
  <si>
    <t>ordem_execucao</t>
  </si>
  <si>
    <t>maquina_sugerida</t>
  </si>
  <si>
    <t>tempo_estimado_horas</t>
  </si>
  <si>
    <t>SELECT</t>
  </si>
  <si>
    <t>Desmontar Porta Estampo</t>
  </si>
  <si>
    <t>Bancada de Ferramentas</t>
  </si>
  <si>
    <t>Bancada de Ferramentas, Pórtico</t>
  </si>
  <si>
    <t>1.0</t>
  </si>
  <si>
    <t>Banco</t>
  </si>
  <si>
    <t>Programação CNC</t>
  </si>
  <si>
    <t>Software CAM</t>
  </si>
  <si>
    <t>8.0</t>
  </si>
  <si>
    <t>Fresamento CNC</t>
  </si>
  <si>
    <t>Centro de Usinagem</t>
  </si>
  <si>
    <t>10.0</t>
  </si>
  <si>
    <t>4.0</t>
  </si>
  <si>
    <t>2.0</t>
  </si>
  <si>
    <t>Rebarbação e Usinagem das Roscas</t>
  </si>
  <si>
    <t>Bancada de Ferramentas e Furadeira de Coluna</t>
  </si>
  <si>
    <t>Montagem das Colunas Guias</t>
  </si>
  <si>
    <t>Montagem das Buchas Guias</t>
  </si>
  <si>
    <t>Verificar Material</t>
  </si>
  <si>
    <t>0.25</t>
  </si>
  <si>
    <t>Torneamento</t>
  </si>
  <si>
    <t>Torno Convencional</t>
  </si>
  <si>
    <t>Retificação</t>
  </si>
  <si>
    <t>Retífica Plana</t>
  </si>
  <si>
    <t>3.0</t>
  </si>
  <si>
    <t>1.5</t>
  </si>
  <si>
    <t>Controle Dimensional</t>
  </si>
  <si>
    <t>Fresamento Convencional</t>
  </si>
  <si>
    <t>Fresadora Universal</t>
  </si>
  <si>
    <t>Retíficação</t>
  </si>
  <si>
    <t>Corte dos perfis</t>
  </si>
  <si>
    <t>Eletroerosão a fio</t>
  </si>
  <si>
    <t>Rebarbação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</si>
</sst>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</font>
    <font>
      <sz val="11"/>
      <color rgb="FF1F1F1F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readingOrder="1"/>
    </xf>
    <xf numFmtId="0" fontId="2" fillId="0" borderId="1" xfId="0" applyFont="1" applyBorder="1"/>
    <xf numFmtId="0" fontId="2" fillId="0" borderId="1" xfId="0" applyNumberFormat="1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" xfId="0" applyFill="1" applyBorder="1"/>
    <xf numFmtId="0" fontId="0" fillId="0" borderId="9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15" xfId="0" applyFont="1" applyBorder="1" applyAlignment="1">
      <alignment readingOrder="1"/>
    </xf>
    <xf numFmtId="0" fontId="1" fillId="0" borderId="16" xfId="0" applyFont="1" applyBorder="1" applyAlignment="1">
      <alignment readingOrder="1"/>
    </xf>
    <xf numFmtId="0" fontId="1" fillId="0" borderId="16" xfId="0" applyFont="1" applyBorder="1"/>
    <xf numFmtId="0" fontId="1" fillId="0" borderId="16" xfId="0" applyFont="1" applyFill="1" applyBorder="1" applyAlignment="1">
      <alignment readingOrder="1"/>
    </xf>
    <xf numFmtId="0" fontId="1" fillId="0" borderId="11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11.44140625" bestFit="1" customWidth="1"/>
    <col min="2" max="2" width="4.33203125" bestFit="1" customWidth="1"/>
    <col min="3" max="3" width="11.109375" bestFit="1" customWidth="1"/>
    <col min="4" max="4" width="35.6640625" bestFit="1" customWidth="1"/>
    <col min="5" max="5" width="10" bestFit="1" customWidth="1"/>
    <col min="6" max="6" width="22.33203125" bestFit="1" customWidth="1"/>
    <col min="7" max="7" width="6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3</v>
      </c>
      <c r="B2" s="3">
        <v>1</v>
      </c>
      <c r="C2" s="3">
        <v>4</v>
      </c>
      <c r="D2" s="2" t="s">
        <v>8</v>
      </c>
      <c r="E2" s="2" t="s">
        <v>28</v>
      </c>
      <c r="F2" s="2" t="s">
        <v>7</v>
      </c>
      <c r="G2" t="str">
        <f>"("&amp;"'"&amp;A2&amp;"'"&amp;","&amp;"'"&amp;B2&amp;"'"&amp;","&amp;"'"&amp;C2&amp;"'"&amp;","&amp;"'"&amp;D2&amp;"'"&amp;","&amp;"'"&amp;E2&amp;"'"&amp;","&amp;"'"&amp;F2&amp;"'"&amp;")"&amp;","</f>
        <v>('3','1','4','Batente Estabilizador-Ø 31,8 x 71,2','SAE 1020','sem tratamento'),</v>
      </c>
    </row>
    <row r="3" spans="1:7" x14ac:dyDescent="0.3">
      <c r="A3" s="1">
        <v>3</v>
      </c>
      <c r="B3" s="3">
        <v>2</v>
      </c>
      <c r="C3" s="3">
        <v>4</v>
      </c>
      <c r="D3" s="2" t="s">
        <v>9</v>
      </c>
      <c r="E3" s="2" t="s">
        <v>28</v>
      </c>
      <c r="F3" s="2" t="s">
        <v>7</v>
      </c>
      <c r="G3" t="str">
        <f t="shared" ref="G3:G22" si="0">"("&amp;"'"&amp;A3&amp;"'"&amp;","&amp;"'"&amp;B3&amp;"'"&amp;","&amp;"'"&amp;C3&amp;"'"&amp;","&amp;"'"&amp;D3&amp;"'"&amp;","&amp;"'"&amp;E3&amp;"'"&amp;","&amp;"'"&amp;F3&amp;"'"&amp;")"&amp;","</f>
        <v>('3','2','4','Garra 28 x 40 x 190','SAE 1020','sem tratamento'),</v>
      </c>
    </row>
    <row r="4" spans="1:7" x14ac:dyDescent="0.3">
      <c r="A4" s="1">
        <v>3</v>
      </c>
      <c r="B4" s="3">
        <v>3</v>
      </c>
      <c r="C4" s="3">
        <v>4</v>
      </c>
      <c r="D4" s="2" t="s">
        <v>10</v>
      </c>
      <c r="E4" s="2" t="s">
        <v>28</v>
      </c>
      <c r="F4" s="2" t="s">
        <v>7</v>
      </c>
      <c r="G4" t="str">
        <f t="shared" si="0"/>
        <v>('3','3','4','Guia Blank','SAE 1020','sem tratamento'),</v>
      </c>
    </row>
    <row r="5" spans="1:7" x14ac:dyDescent="0.3">
      <c r="A5" s="1">
        <v>3</v>
      </c>
      <c r="B5" s="3">
        <v>4</v>
      </c>
      <c r="C5" s="3">
        <v>1</v>
      </c>
      <c r="D5" s="2" t="s">
        <v>11</v>
      </c>
      <c r="E5" s="2" t="s">
        <v>28</v>
      </c>
      <c r="F5" s="2" t="s">
        <v>7</v>
      </c>
      <c r="G5" t="str">
        <f t="shared" si="0"/>
        <v>('3','4','1','Placa Suporte Cilindros','SAE 1020','sem tratamento'),</v>
      </c>
    </row>
    <row r="6" spans="1:7" x14ac:dyDescent="0.3">
      <c r="A6" s="1">
        <v>3</v>
      </c>
      <c r="B6" s="3">
        <v>5</v>
      </c>
      <c r="C6" s="3">
        <v>4</v>
      </c>
      <c r="D6" s="2" t="s">
        <v>12</v>
      </c>
      <c r="E6" s="2" t="s">
        <v>29</v>
      </c>
      <c r="F6" s="2" t="s">
        <v>7</v>
      </c>
      <c r="G6" t="str">
        <f t="shared" si="0"/>
        <v>('3','5','4','Batente Inferior Ø31,8 x 80','SAE 1045','sem tratamento'),</v>
      </c>
    </row>
    <row r="7" spans="1:7" x14ac:dyDescent="0.3">
      <c r="A7" s="1">
        <v>3</v>
      </c>
      <c r="B7" s="3">
        <v>6</v>
      </c>
      <c r="C7" s="3">
        <v>4</v>
      </c>
      <c r="D7" s="2" t="s">
        <v>13</v>
      </c>
      <c r="E7" s="2" t="s">
        <v>29</v>
      </c>
      <c r="F7" s="2" t="s">
        <v>7</v>
      </c>
      <c r="G7" t="str">
        <f t="shared" si="0"/>
        <v>('3','6','4','Batente Superior Ø31,8 x 92','SAE 1045','sem tratamento'),</v>
      </c>
    </row>
    <row r="8" spans="1:7" x14ac:dyDescent="0.3">
      <c r="A8" s="1">
        <v>3</v>
      </c>
      <c r="B8" s="3">
        <v>8</v>
      </c>
      <c r="C8" s="3">
        <v>1</v>
      </c>
      <c r="D8" s="2" t="s">
        <v>14</v>
      </c>
      <c r="E8" s="2" t="s">
        <v>29</v>
      </c>
      <c r="F8" s="2" t="s">
        <v>7</v>
      </c>
      <c r="G8" t="str">
        <f t="shared" si="0"/>
        <v>('3','8','1','Calço LD','SAE 1045','sem tratamento'),</v>
      </c>
    </row>
    <row r="9" spans="1:7" x14ac:dyDescent="0.3">
      <c r="A9" s="1">
        <v>3</v>
      </c>
      <c r="B9" s="3">
        <v>9</v>
      </c>
      <c r="C9" s="3">
        <v>1</v>
      </c>
      <c r="D9" s="2" t="s">
        <v>15</v>
      </c>
      <c r="E9" s="2" t="s">
        <v>29</v>
      </c>
      <c r="F9" s="2" t="s">
        <v>7</v>
      </c>
      <c r="G9" t="str">
        <f t="shared" si="0"/>
        <v>('3','9','1','Calço LE','SAE 1045','sem tratamento'),</v>
      </c>
    </row>
    <row r="10" spans="1:7" x14ac:dyDescent="0.3">
      <c r="A10" s="1">
        <v>3</v>
      </c>
      <c r="B10" s="3">
        <v>10</v>
      </c>
      <c r="C10" s="3">
        <v>1</v>
      </c>
      <c r="D10" s="2" t="s">
        <v>16</v>
      </c>
      <c r="E10" s="2" t="s">
        <v>29</v>
      </c>
      <c r="F10" s="2" t="s">
        <v>7</v>
      </c>
      <c r="G10" t="str">
        <f t="shared" si="0"/>
        <v>('3','10','1','Calço Superior A','SAE 1045','sem tratamento'),</v>
      </c>
    </row>
    <row r="11" spans="1:7" x14ac:dyDescent="0.3">
      <c r="A11" s="1">
        <v>3</v>
      </c>
      <c r="B11" s="3">
        <v>11</v>
      </c>
      <c r="C11" s="3">
        <v>1</v>
      </c>
      <c r="D11" s="2" t="s">
        <v>17</v>
      </c>
      <c r="E11" s="2" t="s">
        <v>29</v>
      </c>
      <c r="F11" s="2" t="s">
        <v>7</v>
      </c>
      <c r="G11" t="str">
        <f t="shared" si="0"/>
        <v>('3','11','1','Calço Superior B','SAE 1045','sem tratamento'),</v>
      </c>
    </row>
    <row r="12" spans="1:7" x14ac:dyDescent="0.3">
      <c r="A12" s="1">
        <v>3</v>
      </c>
      <c r="B12" s="3">
        <v>12</v>
      </c>
      <c r="C12" s="3">
        <v>1</v>
      </c>
      <c r="D12" s="2" t="s">
        <v>18</v>
      </c>
      <c r="E12" s="2" t="s">
        <v>29</v>
      </c>
      <c r="F12" s="2" t="s">
        <v>7</v>
      </c>
      <c r="G12" t="str">
        <f t="shared" si="0"/>
        <v>('3','12','1','Placa Base Inferior','SAE 1045','sem tratamento'),</v>
      </c>
    </row>
    <row r="13" spans="1:7" x14ac:dyDescent="0.3">
      <c r="A13" s="1">
        <v>3</v>
      </c>
      <c r="B13" s="3">
        <v>13</v>
      </c>
      <c r="C13" s="3">
        <v>1</v>
      </c>
      <c r="D13" s="2" t="s">
        <v>19</v>
      </c>
      <c r="E13" s="2" t="s">
        <v>29</v>
      </c>
      <c r="F13" s="2" t="s">
        <v>7</v>
      </c>
      <c r="G13" t="str">
        <f t="shared" si="0"/>
        <v>('3','13','1','Placa Base Superior','SAE 1045','sem tratamento'),</v>
      </c>
    </row>
    <row r="14" spans="1:7" x14ac:dyDescent="0.3">
      <c r="A14" s="1">
        <v>3</v>
      </c>
      <c r="B14" s="3">
        <v>14</v>
      </c>
      <c r="C14" s="3">
        <v>1</v>
      </c>
      <c r="D14" s="2" t="s">
        <v>20</v>
      </c>
      <c r="E14" s="2" t="s">
        <v>29</v>
      </c>
      <c r="F14" s="2" t="s">
        <v>7</v>
      </c>
      <c r="G14" t="str">
        <f t="shared" si="0"/>
        <v>('3','14','1','Placa Flutuante','SAE 1045','sem tratamento'),</v>
      </c>
    </row>
    <row r="15" spans="1:7" x14ac:dyDescent="0.3">
      <c r="A15" s="1">
        <v>3</v>
      </c>
      <c r="B15" s="3">
        <v>15</v>
      </c>
      <c r="C15" s="3">
        <v>1</v>
      </c>
      <c r="D15" s="2" t="s">
        <v>21</v>
      </c>
      <c r="E15" s="2" t="s">
        <v>29</v>
      </c>
      <c r="F15" s="2" t="s">
        <v>7</v>
      </c>
      <c r="G15" t="str">
        <f t="shared" si="0"/>
        <v>('3','15','1','Placa Prensa Chapa','SAE 1045','sem tratamento'),</v>
      </c>
    </row>
    <row r="16" spans="1:7" x14ac:dyDescent="0.3">
      <c r="A16" s="1">
        <v>3</v>
      </c>
      <c r="B16" s="3">
        <v>16</v>
      </c>
      <c r="C16" s="3">
        <v>1</v>
      </c>
      <c r="D16" s="2" t="s">
        <v>22</v>
      </c>
      <c r="E16" s="2" t="s">
        <v>29</v>
      </c>
      <c r="F16" s="2" t="s">
        <v>7</v>
      </c>
      <c r="G16" t="str">
        <f t="shared" si="0"/>
        <v>('3','16','1','Sujeitador Inferior','SAE 1045','sem tratamento'),</v>
      </c>
    </row>
    <row r="17" spans="1:7" x14ac:dyDescent="0.3">
      <c r="A17" s="1">
        <v>3</v>
      </c>
      <c r="B17" s="3">
        <v>17</v>
      </c>
      <c r="C17" s="3">
        <v>1</v>
      </c>
      <c r="D17" s="2" t="s">
        <v>23</v>
      </c>
      <c r="E17" s="2" t="s">
        <v>29</v>
      </c>
      <c r="F17" s="2" t="s">
        <v>7</v>
      </c>
      <c r="G17" t="str">
        <f t="shared" si="0"/>
        <v>('3','17','1','Suporte Inferior Cilindros','SAE 1045','sem tratamento'),</v>
      </c>
    </row>
    <row r="18" spans="1:7" x14ac:dyDescent="0.3">
      <c r="A18" s="1">
        <v>3</v>
      </c>
      <c r="B18" s="3">
        <v>18</v>
      </c>
      <c r="C18" s="3">
        <v>1</v>
      </c>
      <c r="D18" s="2" t="s">
        <v>24</v>
      </c>
      <c r="E18" s="2" t="s">
        <v>30</v>
      </c>
      <c r="F18" s="2" t="s">
        <v>7</v>
      </c>
      <c r="G18" t="str">
        <f t="shared" si="0"/>
        <v>('3','18','1','Matriz','VC 131','sem tratamento'),</v>
      </c>
    </row>
    <row r="19" spans="1:7" x14ac:dyDescent="0.3">
      <c r="A19" s="1">
        <v>3</v>
      </c>
      <c r="B19" s="3">
        <v>19</v>
      </c>
      <c r="C19" s="3">
        <v>1</v>
      </c>
      <c r="D19" s="2" t="s">
        <v>32</v>
      </c>
      <c r="E19" s="2" t="s">
        <v>31</v>
      </c>
      <c r="F19" s="2" t="s">
        <v>7</v>
      </c>
      <c r="G19" t="str">
        <f t="shared" si="0"/>
        <v>('3','19','1','Punção Postiço','VND','sem tratamento'),</v>
      </c>
    </row>
    <row r="20" spans="1:7" x14ac:dyDescent="0.3">
      <c r="A20" s="1">
        <v>3</v>
      </c>
      <c r="B20" s="3">
        <v>20</v>
      </c>
      <c r="C20" s="3">
        <v>4</v>
      </c>
      <c r="D20" s="2" t="s">
        <v>25</v>
      </c>
      <c r="E20" s="2" t="s">
        <v>31</v>
      </c>
      <c r="F20" s="2" t="s">
        <v>7</v>
      </c>
      <c r="G20" t="str">
        <f t="shared" si="0"/>
        <v>('3','20','4','Punção Inferior','VND','sem tratamento'),</v>
      </c>
    </row>
    <row r="21" spans="1:7" x14ac:dyDescent="0.3">
      <c r="A21" s="1">
        <v>3</v>
      </c>
      <c r="B21" s="3">
        <v>47</v>
      </c>
      <c r="C21" s="3">
        <v>1</v>
      </c>
      <c r="D21" s="2" t="s">
        <v>26</v>
      </c>
      <c r="E21" s="2" t="s">
        <v>31</v>
      </c>
      <c r="F21" s="2" t="s">
        <v>7</v>
      </c>
      <c r="G21" t="str">
        <f t="shared" si="0"/>
        <v>('3','47','1','Punção','VND','sem tratamento'),</v>
      </c>
    </row>
    <row r="22" spans="1:7" x14ac:dyDescent="0.3">
      <c r="A22" s="1">
        <v>3</v>
      </c>
      <c r="B22" s="3">
        <v>51</v>
      </c>
      <c r="C22" s="3">
        <v>4</v>
      </c>
      <c r="D22" s="2" t="s">
        <v>27</v>
      </c>
      <c r="E22" s="2" t="s">
        <v>31</v>
      </c>
      <c r="F22" s="2" t="s">
        <v>7</v>
      </c>
      <c r="G22" t="str">
        <f t="shared" si="0"/>
        <v>('3','51','4','Chaveta','VND','sem tratamento'),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1F7F8-3358-49FF-A4C6-92E8667CB718}">
  <dimension ref="A1:G30"/>
  <sheetViews>
    <sheetView tabSelected="1" topLeftCell="A17" zoomScale="70" zoomScaleNormal="70" workbookViewId="0">
      <selection activeCell="A34" sqref="A34"/>
    </sheetView>
  </sheetViews>
  <sheetFormatPr defaultRowHeight="14.4" x14ac:dyDescent="0.3"/>
  <cols>
    <col min="1" max="1" width="86" customWidth="1"/>
    <col min="2" max="2" width="8" hidden="1" customWidth="1"/>
    <col min="3" max="6" width="8" customWidth="1"/>
    <col min="7" max="7" width="168.33203125" bestFit="1" customWidth="1"/>
  </cols>
  <sheetData>
    <row r="1" spans="1:7" ht="15" thickBot="1" x14ac:dyDescent="0.35">
      <c r="A1" s="18" t="s">
        <v>38</v>
      </c>
      <c r="B1" s="19" t="s">
        <v>33</v>
      </c>
      <c r="C1" s="19" t="s">
        <v>35</v>
      </c>
      <c r="D1" s="20" t="s">
        <v>34</v>
      </c>
      <c r="E1" s="20" t="s">
        <v>36</v>
      </c>
      <c r="F1" s="21" t="s">
        <v>37</v>
      </c>
      <c r="G1" s="22" t="s">
        <v>43</v>
      </c>
    </row>
    <row r="2" spans="1:7" x14ac:dyDescent="0.3">
      <c r="A2" s="15" t="str">
        <f>"(SELECT id FROM pecas WHERE nome = '"&amp;Peças!D13&amp;"' AND estampo_id = 3 LIMIT 1)"</f>
        <v>(SELECT id FROM pecas WHERE nome = 'Placa Base Superior' AND estampo_id = 3 LIMIT 1)</v>
      </c>
      <c r="B2" s="16"/>
      <c r="C2" s="16">
        <v>1</v>
      </c>
      <c r="D2" s="16" t="s">
        <v>39</v>
      </c>
      <c r="E2" s="16" t="s">
        <v>41</v>
      </c>
      <c r="F2" s="16" t="s">
        <v>42</v>
      </c>
      <c r="G2" s="17" t="str">
        <f>"("&amp;A2&amp;""&amp;B2&amp;","&amp;"'"&amp;C2&amp;"'"&amp;","&amp;"'"&amp;D2&amp;"'"&amp;","&amp;"'"&amp;E2&amp;"'"&amp;","&amp;"'"&amp;F2&amp;"'"&amp;")"&amp;","</f>
        <v>((SELECT id FROM pecas WHERE nome = 'Placa Base Superior' AND estampo_id = 3 LIMIT 1),'1','Desmontar Porta Estampo','Bancada de Ferramentas, Pórtico','1.0'),</v>
      </c>
    </row>
    <row r="3" spans="1:7" x14ac:dyDescent="0.3">
      <c r="A3" s="8" t="str">
        <f>"(SELECT id FROM pecas WHERE nome = '"&amp;Peças!D13&amp;"' AND estampo_id = 3 LIMIT 1)"</f>
        <v>(SELECT id FROM pecas WHERE nome = 'Placa Base Superior' AND estampo_id = 3 LIMIT 1)</v>
      </c>
      <c r="B3" s="4"/>
      <c r="C3" s="4">
        <v>2</v>
      </c>
      <c r="D3" s="4" t="s">
        <v>44</v>
      </c>
      <c r="E3" s="4" t="s">
        <v>45</v>
      </c>
      <c r="F3" s="4" t="s">
        <v>46</v>
      </c>
      <c r="G3" s="9" t="str">
        <f t="shared" ref="G3:G30" si="0">"("&amp;A3&amp;""&amp;B3&amp;","&amp;"'"&amp;C3&amp;"'"&amp;","&amp;"'"&amp;D3&amp;"'"&amp;","&amp;"'"&amp;E3&amp;"'"&amp;","&amp;"'"&amp;F3&amp;"'"&amp;")"&amp;","</f>
        <v>((SELECT id FROM pecas WHERE nome = 'Placa Base Superior' AND estampo_id = 3 LIMIT 1),'2','Programação CNC','Software CAM','8.0'),</v>
      </c>
    </row>
    <row r="4" spans="1:7" x14ac:dyDescent="0.3">
      <c r="A4" s="8" t="str">
        <f>"(SELECT id FROM pecas WHERE nome = '"&amp;Peças!D13&amp;"' AND estampo_id = 3 LIMIT 1)"</f>
        <v>(SELECT id FROM pecas WHERE nome = 'Placa Base Superior' AND estampo_id = 3 LIMIT 1)</v>
      </c>
      <c r="B4" s="4"/>
      <c r="C4" s="4">
        <v>3</v>
      </c>
      <c r="D4" s="4" t="s">
        <v>47</v>
      </c>
      <c r="E4" s="4" t="s">
        <v>48</v>
      </c>
      <c r="F4" s="4" t="s">
        <v>49</v>
      </c>
      <c r="G4" s="9" t="str">
        <f t="shared" si="0"/>
        <v>((SELECT id FROM pecas WHERE nome = 'Placa Base Superior' AND estampo_id = 3 LIMIT 1),'3','Fresamento CNC','Centro de Usinagem','10.0'),</v>
      </c>
    </row>
    <row r="5" spans="1:7" x14ac:dyDescent="0.3">
      <c r="A5" s="8" t="str">
        <f>"(SELECT id FROM pecas WHERE nome = '"&amp;Peças!D13&amp;"' AND estampo_id = 3 LIMIT 1)"</f>
        <v>(SELECT id FROM pecas WHERE nome = 'Placa Base Superior' AND estampo_id = 3 LIMIT 1)</v>
      </c>
      <c r="B5" s="4"/>
      <c r="C5" s="4">
        <v>4</v>
      </c>
      <c r="D5" s="4" t="s">
        <v>52</v>
      </c>
      <c r="E5" s="4" t="s">
        <v>53</v>
      </c>
      <c r="F5" s="4" t="s">
        <v>50</v>
      </c>
      <c r="G5" s="9" t="str">
        <f t="shared" si="0"/>
        <v>((SELECT id FROM pecas WHERE nome = 'Placa Base Superior' AND estampo_id = 3 LIMIT 1),'4','Rebarbação e Usinagem das Roscas','Bancada de Ferramentas e Furadeira de Coluna','4.0'),</v>
      </c>
    </row>
    <row r="6" spans="1:7" ht="15" thickBot="1" x14ac:dyDescent="0.35">
      <c r="A6" s="10" t="str">
        <f>"(SELECT id FROM pecas WHERE nome = '"&amp;Peças!D13&amp;"' AND estampo_id = 3 LIMIT 1)"</f>
        <v>(SELECT id FROM pecas WHERE nome = 'Placa Base Superior' AND estampo_id = 3 LIMIT 1)</v>
      </c>
      <c r="B6" s="11"/>
      <c r="C6" s="11">
        <v>5</v>
      </c>
      <c r="D6" s="11" t="s">
        <v>54</v>
      </c>
      <c r="E6" s="11" t="s">
        <v>40</v>
      </c>
      <c r="F6" s="11" t="s">
        <v>51</v>
      </c>
      <c r="G6" s="12" t="str">
        <f t="shared" si="0"/>
        <v>((SELECT id FROM pecas WHERE nome = 'Placa Base Superior' AND estampo_id = 3 LIMIT 1),'5','Montagem das Colunas Guias','Bancada de Ferramentas','2.0'),</v>
      </c>
    </row>
    <row r="7" spans="1:7" ht="15" thickBot="1" x14ac:dyDescent="0.35"/>
    <row r="8" spans="1:7" x14ac:dyDescent="0.3">
      <c r="A8" s="5" t="str">
        <f>"(SELECT id FROM pecas WHERE nome = '"&amp;Peças!D14&amp;"' AND estampo_id = 3 LIMIT 1)"</f>
        <v>(SELECT id FROM pecas WHERE nome = 'Placa Flutuante' AND estampo_id = 3 LIMIT 1)</v>
      </c>
      <c r="B8" s="6"/>
      <c r="C8" s="6">
        <v>1</v>
      </c>
      <c r="D8" s="6" t="s">
        <v>39</v>
      </c>
      <c r="E8" s="6" t="s">
        <v>41</v>
      </c>
      <c r="F8" s="6" t="s">
        <v>42</v>
      </c>
      <c r="G8" s="7" t="str">
        <f t="shared" si="0"/>
        <v>((SELECT id FROM pecas WHERE nome = 'Placa Flutuante' AND estampo_id = 3 LIMIT 1),'1','Desmontar Porta Estampo','Bancada de Ferramentas, Pórtico','1.0'),</v>
      </c>
    </row>
    <row r="9" spans="1:7" x14ac:dyDescent="0.3">
      <c r="A9" s="8" t="str">
        <f>"(SELECT id FROM pecas WHERE nome = '"&amp;Peças!D14&amp;"' AND estampo_id = 3 LIMIT 1)"</f>
        <v>(SELECT id FROM pecas WHERE nome = 'Placa Flutuante' AND estampo_id = 3 LIMIT 1)</v>
      </c>
      <c r="B9" s="4"/>
      <c r="C9" s="4">
        <v>2</v>
      </c>
      <c r="D9" s="4" t="s">
        <v>44</v>
      </c>
      <c r="E9" s="4" t="s">
        <v>45</v>
      </c>
      <c r="F9" s="4" t="s">
        <v>46</v>
      </c>
      <c r="G9" s="9" t="str">
        <f t="shared" si="0"/>
        <v>((SELECT id FROM pecas WHERE nome = 'Placa Flutuante' AND estampo_id = 3 LIMIT 1),'2','Programação CNC','Software CAM','8.0'),</v>
      </c>
    </row>
    <row r="10" spans="1:7" x14ac:dyDescent="0.3">
      <c r="A10" s="8" t="str">
        <f>"(SELECT id FROM pecas WHERE nome = '"&amp;Peças!D14&amp;"' AND estampo_id = 3 LIMIT 1)"</f>
        <v>(SELECT id FROM pecas WHERE nome = 'Placa Flutuante' AND estampo_id = 3 LIMIT 1)</v>
      </c>
      <c r="B10" s="4"/>
      <c r="C10" s="4">
        <v>3</v>
      </c>
      <c r="D10" s="4" t="s">
        <v>47</v>
      </c>
      <c r="E10" s="4" t="s">
        <v>48</v>
      </c>
      <c r="F10" s="4" t="s">
        <v>49</v>
      </c>
      <c r="G10" s="9" t="str">
        <f t="shared" si="0"/>
        <v>((SELECT id FROM pecas WHERE nome = 'Placa Flutuante' AND estampo_id = 3 LIMIT 1),'3','Fresamento CNC','Centro de Usinagem','10.0'),</v>
      </c>
    </row>
    <row r="11" spans="1:7" x14ac:dyDescent="0.3">
      <c r="A11" s="8" t="str">
        <f>"(SELECT id FROM pecas WHERE nome = '"&amp;Peças!D14&amp;"' AND estampo_id = 3 LIMIT 1)"</f>
        <v>(SELECT id FROM pecas WHERE nome = 'Placa Flutuante' AND estampo_id = 3 LIMIT 1)</v>
      </c>
      <c r="B11" s="4"/>
      <c r="C11" s="4">
        <v>4</v>
      </c>
      <c r="D11" s="4" t="s">
        <v>52</v>
      </c>
      <c r="E11" s="4" t="s">
        <v>53</v>
      </c>
      <c r="F11" s="4" t="s">
        <v>50</v>
      </c>
      <c r="G11" s="9" t="str">
        <f t="shared" si="0"/>
        <v>((SELECT id FROM pecas WHERE nome = 'Placa Flutuante' AND estampo_id = 3 LIMIT 1),'4','Rebarbação e Usinagem das Roscas','Bancada de Ferramentas e Furadeira de Coluna','4.0'),</v>
      </c>
    </row>
    <row r="12" spans="1:7" ht="15" thickBot="1" x14ac:dyDescent="0.35">
      <c r="A12" s="10" t="str">
        <f>"(SELECT id FROM pecas WHERE nome = '"&amp;Peças!D14&amp;"' AND estampo_id = 3 LIMIT 1)"</f>
        <v>(SELECT id FROM pecas WHERE nome = 'Placa Flutuante' AND estampo_id = 3 LIMIT 1)</v>
      </c>
      <c r="B12" s="11"/>
      <c r="C12" s="11">
        <v>5</v>
      </c>
      <c r="D12" s="11" t="s">
        <v>55</v>
      </c>
      <c r="E12" s="11" t="s">
        <v>40</v>
      </c>
      <c r="F12" s="11" t="s">
        <v>51</v>
      </c>
      <c r="G12" s="12" t="str">
        <f t="shared" si="0"/>
        <v>((SELECT id FROM pecas WHERE nome = 'Placa Flutuante' AND estampo_id = 3 LIMIT 1),'5','Montagem das Buchas Guias','Bancada de Ferramentas','2.0'),</v>
      </c>
    </row>
    <row r="13" spans="1:7" ht="15" thickBot="1" x14ac:dyDescent="0.35"/>
    <row r="14" spans="1:7" x14ac:dyDescent="0.3">
      <c r="A14" s="5" t="str">
        <f>"(SELECT id FROM pecas WHERE nome = '"&amp;Peças!D2&amp;"' AND estampo_id = 3 LIMIT 1)"</f>
        <v>(SELECT id FROM pecas WHERE nome = 'Batente Estabilizador-Ø 31,8 x 71,2' AND estampo_id = 3 LIMIT 1)</v>
      </c>
      <c r="B14" s="6"/>
      <c r="C14" s="6">
        <v>1</v>
      </c>
      <c r="D14" s="6" t="s">
        <v>56</v>
      </c>
      <c r="E14" s="6" t="s">
        <v>40</v>
      </c>
      <c r="F14" s="6" t="s">
        <v>57</v>
      </c>
      <c r="G14" s="7" t="str">
        <f t="shared" si="0"/>
        <v>((SELECT id FROM pecas WHERE nome = 'Batente Estabilizador-Ø 31,8 x 71,2' AND estampo_id = 3 LIMIT 1),'1','Verificar Material','Bancada de Ferramentas','0.25'),</v>
      </c>
    </row>
    <row r="15" spans="1:7" x14ac:dyDescent="0.3">
      <c r="A15" s="8" t="str">
        <f>"(SELECT id FROM pecas WHERE nome = '"&amp;Peças!D2&amp;"' AND estampo_id = 3 LIMIT 1)"</f>
        <v>(SELECT id FROM pecas WHERE nome = 'Batente Estabilizador-Ø 31,8 x 71,2' AND estampo_id = 3 LIMIT 1)</v>
      </c>
      <c r="B15" s="4"/>
      <c r="C15" s="4">
        <v>2</v>
      </c>
      <c r="D15" s="4" t="s">
        <v>58</v>
      </c>
      <c r="E15" s="4" t="s">
        <v>59</v>
      </c>
      <c r="F15" s="4" t="s">
        <v>62</v>
      </c>
      <c r="G15" s="9" t="str">
        <f t="shared" si="0"/>
        <v>((SELECT id FROM pecas WHERE nome = 'Batente Estabilizador-Ø 31,8 x 71,2' AND estampo_id = 3 LIMIT 1),'2','Torneamento','Torno Convencional','3.0'),</v>
      </c>
    </row>
    <row r="16" spans="1:7" x14ac:dyDescent="0.3">
      <c r="A16" s="8" t="str">
        <f>"(SELECT id FROM pecas WHERE nome = '"&amp;Peças!D2&amp;"' AND estampo_id = 3 LIMIT 1)"</f>
        <v>(SELECT id FROM pecas WHERE nome = 'Batente Estabilizador-Ø 31,8 x 71,2' AND estampo_id = 3 LIMIT 1)</v>
      </c>
      <c r="B16" s="4"/>
      <c r="C16" s="4">
        <v>3</v>
      </c>
      <c r="D16" s="4" t="s">
        <v>60</v>
      </c>
      <c r="E16" s="4" t="s">
        <v>61</v>
      </c>
      <c r="F16" s="4" t="s">
        <v>63</v>
      </c>
      <c r="G16" s="9" t="str">
        <f t="shared" si="0"/>
        <v>((SELECT id FROM pecas WHERE nome = 'Batente Estabilizador-Ø 31,8 x 71,2' AND estampo_id = 3 LIMIT 1),'3','Retificação','Retífica Plana','1.5'),</v>
      </c>
    </row>
    <row r="17" spans="1:7" ht="15" thickBot="1" x14ac:dyDescent="0.35">
      <c r="A17" s="10" t="str">
        <f>"(SELECT id FROM pecas WHERE nome = '"&amp;Peças!D2&amp;"' AND estampo_id = 3 LIMIT 1)"</f>
        <v>(SELECT id FROM pecas WHERE nome = 'Batente Estabilizador-Ø 31,8 x 71,2' AND estampo_id = 3 LIMIT 1)</v>
      </c>
      <c r="B17" s="11"/>
      <c r="C17" s="11">
        <v>4</v>
      </c>
      <c r="D17" s="11" t="s">
        <v>64</v>
      </c>
      <c r="E17" s="11" t="s">
        <v>40</v>
      </c>
      <c r="F17" s="11" t="s">
        <v>57</v>
      </c>
      <c r="G17" s="12" t="str">
        <f t="shared" si="0"/>
        <v>((SELECT id FROM pecas WHERE nome = 'Batente Estabilizador-Ø 31,8 x 71,2' AND estampo_id = 3 LIMIT 1),'4','Controle Dimensional','Bancada de Ferramentas','0.25'),</v>
      </c>
    </row>
    <row r="18" spans="1:7" ht="15" thickBot="1" x14ac:dyDescent="0.35"/>
    <row r="19" spans="1:7" x14ac:dyDescent="0.3">
      <c r="A19" s="5" t="str">
        <f>"(SELECT id FROM pecas WHERE nome = '"&amp;Peças!D3&amp;"' AND estampo_id = 3 LIMIT 1)"</f>
        <v>(SELECT id FROM pecas WHERE nome = 'Garra 28 x 40 x 190' AND estampo_id = 3 LIMIT 1)</v>
      </c>
      <c r="B19" s="6"/>
      <c r="C19" s="6">
        <v>1</v>
      </c>
      <c r="D19" s="6" t="s">
        <v>56</v>
      </c>
      <c r="E19" s="6" t="s">
        <v>40</v>
      </c>
      <c r="F19" s="6" t="s">
        <v>57</v>
      </c>
      <c r="G19" s="7" t="str">
        <f t="shared" si="0"/>
        <v>((SELECT id FROM pecas WHERE nome = 'Garra 28 x 40 x 190' AND estampo_id = 3 LIMIT 1),'1','Verificar Material','Bancada de Ferramentas','0.25'),</v>
      </c>
    </row>
    <row r="20" spans="1:7" x14ac:dyDescent="0.3">
      <c r="A20" s="8" t="str">
        <f>"(SELECT id FROM pecas WHERE nome = '"&amp;Peças!D3&amp;"' AND estampo_id = 3 LIMIT 1)"</f>
        <v>(SELECT id FROM pecas WHERE nome = 'Garra 28 x 40 x 190' AND estampo_id = 3 LIMIT 1)</v>
      </c>
      <c r="B20" s="4"/>
      <c r="C20" s="4">
        <v>2</v>
      </c>
      <c r="D20" s="4" t="s">
        <v>44</v>
      </c>
      <c r="E20" s="4" t="s">
        <v>45</v>
      </c>
      <c r="F20" s="4" t="s">
        <v>63</v>
      </c>
      <c r="G20" s="9" t="str">
        <f t="shared" si="0"/>
        <v>((SELECT id FROM pecas WHERE nome = 'Garra 28 x 40 x 190' AND estampo_id = 3 LIMIT 1),'2','Programação CNC','Software CAM','1.5'),</v>
      </c>
    </row>
    <row r="21" spans="1:7" x14ac:dyDescent="0.3">
      <c r="A21" s="8" t="str">
        <f>"(SELECT id FROM pecas WHERE nome = '"&amp;Peças!D3&amp;"' AND estampo_id = 3 LIMIT 1)"</f>
        <v>(SELECT id FROM pecas WHERE nome = 'Garra 28 x 40 x 190' AND estampo_id = 3 LIMIT 1)</v>
      </c>
      <c r="B21" s="4"/>
      <c r="C21" s="4">
        <v>3</v>
      </c>
      <c r="D21" s="4" t="s">
        <v>47</v>
      </c>
      <c r="E21" s="4" t="s">
        <v>48</v>
      </c>
      <c r="F21" s="4" t="s">
        <v>50</v>
      </c>
      <c r="G21" s="9" t="str">
        <f t="shared" si="0"/>
        <v>((SELECT id FROM pecas WHERE nome = 'Garra 28 x 40 x 190' AND estampo_id = 3 LIMIT 1),'3','Fresamento CNC','Centro de Usinagem','4.0'),</v>
      </c>
    </row>
    <row r="22" spans="1:7" x14ac:dyDescent="0.3">
      <c r="A22" s="8" t="str">
        <f>"(SELECT id FROM pecas WHERE nome = '"&amp;Peças!D3&amp;"' AND estampo_id = 3 LIMIT 1)"</f>
        <v>(SELECT id FROM pecas WHERE nome = 'Garra 28 x 40 x 190' AND estampo_id = 3 LIMIT 1)</v>
      </c>
      <c r="B22" s="4"/>
      <c r="C22" s="4">
        <v>4</v>
      </c>
      <c r="D22" s="4" t="s">
        <v>52</v>
      </c>
      <c r="E22" s="4" t="s">
        <v>53</v>
      </c>
      <c r="F22" s="4" t="s">
        <v>42</v>
      </c>
      <c r="G22" s="9" t="str">
        <f t="shared" si="0"/>
        <v>((SELECT id FROM pecas WHERE nome = 'Garra 28 x 40 x 190' AND estampo_id = 3 LIMIT 1),'4','Rebarbação e Usinagem das Roscas','Bancada de Ferramentas e Furadeira de Coluna','1.0'),</v>
      </c>
    </row>
    <row r="23" spans="1:7" ht="15" thickBot="1" x14ac:dyDescent="0.35">
      <c r="A23" s="10" t="str">
        <f>"(SELECT id FROM pecas WHERE nome = '"&amp;Peças!D3&amp;"' AND estampo_id = 3 LIMIT 1)"</f>
        <v>(SELECT id FROM pecas WHERE nome = 'Garra 28 x 40 x 190' AND estampo_id = 3 LIMIT 1)</v>
      </c>
      <c r="B23" s="11"/>
      <c r="C23" s="11">
        <v>5</v>
      </c>
      <c r="D23" s="14" t="s">
        <v>64</v>
      </c>
      <c r="E23" s="14" t="s">
        <v>40</v>
      </c>
      <c r="F23" s="11" t="s">
        <v>57</v>
      </c>
      <c r="G23" s="12" t="str">
        <f t="shared" si="0"/>
        <v>((SELECT id FROM pecas WHERE nome = 'Garra 28 x 40 x 190' AND estampo_id = 3 LIMIT 1),'5','Controle Dimensional','Bancada de Ferramentas','0.25'),</v>
      </c>
    </row>
    <row r="24" spans="1:7" ht="15" thickBot="1" x14ac:dyDescent="0.35"/>
    <row r="25" spans="1:7" x14ac:dyDescent="0.3">
      <c r="A25" s="5" t="str">
        <f>"(SELECT id FROM pecas WHERE nome = '"&amp;Peças!D4&amp;"' AND estampo_id = 3 LIMIT 1)"</f>
        <v>(SELECT id FROM pecas WHERE nome = 'Guia Blank' AND estampo_id = 3 LIMIT 1)</v>
      </c>
      <c r="B25" s="6"/>
      <c r="C25" s="6">
        <v>1</v>
      </c>
      <c r="D25" s="6" t="s">
        <v>56</v>
      </c>
      <c r="E25" s="6" t="s">
        <v>40</v>
      </c>
      <c r="F25" s="6" t="s">
        <v>57</v>
      </c>
      <c r="G25" s="7" t="str">
        <f t="shared" si="0"/>
        <v>((SELECT id FROM pecas WHERE nome = 'Guia Blank' AND estampo_id = 3 LIMIT 1),'1','Verificar Material','Bancada de Ferramentas','0.25'),</v>
      </c>
    </row>
    <row r="26" spans="1:7" x14ac:dyDescent="0.3">
      <c r="A26" s="8" t="str">
        <f>"(SELECT id FROM pecas WHERE nome = '"&amp;Peças!D4&amp;"' AND estampo_id = 3 LIMIT 1)"</f>
        <v>(SELECT id FROM pecas WHERE nome = 'Guia Blank' AND estampo_id = 3 LIMIT 1)</v>
      </c>
      <c r="B26" s="4"/>
      <c r="C26" s="4">
        <v>2</v>
      </c>
      <c r="D26" s="4" t="s">
        <v>44</v>
      </c>
      <c r="E26" s="4" t="s">
        <v>45</v>
      </c>
      <c r="F26" s="4" t="s">
        <v>63</v>
      </c>
      <c r="G26" s="9" t="str">
        <f t="shared" si="0"/>
        <v>((SELECT id FROM pecas WHERE nome = 'Guia Blank' AND estampo_id = 3 LIMIT 1),'2','Programação CNC','Software CAM','1.5'),</v>
      </c>
    </row>
    <row r="27" spans="1:7" x14ac:dyDescent="0.3">
      <c r="A27" s="8" t="str">
        <f>"(SELECT id FROM pecas WHERE nome = '"&amp;Peças!D4&amp;"' AND estampo_id = 3 LIMIT 1)"</f>
        <v>(SELECT id FROM pecas WHERE nome = 'Guia Blank' AND estampo_id = 3 LIMIT 1)</v>
      </c>
      <c r="B27" s="4"/>
      <c r="C27" s="4">
        <v>3</v>
      </c>
      <c r="D27" s="13" t="s">
        <v>65</v>
      </c>
      <c r="E27" s="13" t="s">
        <v>66</v>
      </c>
      <c r="F27" s="4" t="s">
        <v>63</v>
      </c>
      <c r="G27" s="9" t="str">
        <f t="shared" si="0"/>
        <v>((SELECT id FROM pecas WHERE nome = 'Guia Blank' AND estampo_id = 3 LIMIT 1),'3','Fresamento Convencional','Fresadora Universal','1.5'),</v>
      </c>
    </row>
    <row r="28" spans="1:7" x14ac:dyDescent="0.3">
      <c r="A28" s="8" t="str">
        <f>"(SELECT id FROM pecas WHERE nome = '"&amp;Peças!D4&amp;"' AND estampo_id = 3 LIMIT 1)"</f>
        <v>(SELECT id FROM pecas WHERE nome = 'Guia Blank' AND estampo_id = 3 LIMIT 1)</v>
      </c>
      <c r="B28" s="4"/>
      <c r="C28" s="4">
        <v>4</v>
      </c>
      <c r="D28" s="13" t="s">
        <v>67</v>
      </c>
      <c r="E28" s="13" t="s">
        <v>61</v>
      </c>
      <c r="F28" s="4" t="s">
        <v>63</v>
      </c>
      <c r="G28" s="9" t="str">
        <f t="shared" si="0"/>
        <v>((SELECT id FROM pecas WHERE nome = 'Guia Blank' AND estampo_id = 3 LIMIT 1),'4','Retíficação','Retífica Plana','1.5'),</v>
      </c>
    </row>
    <row r="29" spans="1:7" x14ac:dyDescent="0.3">
      <c r="A29" s="8" t="str">
        <f>"(SELECT id FROM pecas WHERE nome = '"&amp;Peças!D4&amp;"' AND estampo_id = 3 LIMIT 1)"</f>
        <v>(SELECT id FROM pecas WHERE nome = 'Guia Blank' AND estampo_id = 3 LIMIT 1)</v>
      </c>
      <c r="B29" s="4"/>
      <c r="C29" s="4">
        <v>5</v>
      </c>
      <c r="D29" s="13" t="s">
        <v>68</v>
      </c>
      <c r="E29" s="13" t="s">
        <v>69</v>
      </c>
      <c r="F29" s="4" t="s">
        <v>62</v>
      </c>
      <c r="G29" s="9" t="str">
        <f t="shared" si="0"/>
        <v>((SELECT id FROM pecas WHERE nome = 'Guia Blank' AND estampo_id = 3 LIMIT 1),'5','Corte dos perfis','Eletroerosão a fio','3.0'),</v>
      </c>
    </row>
    <row r="30" spans="1:7" ht="15" thickBot="1" x14ac:dyDescent="0.35">
      <c r="A30" s="10" t="str">
        <f>"(SELECT id FROM pecas WHERE nome = '"&amp;Peças!D4&amp;"' AND estampo_id = 3 LIMIT 1)"</f>
        <v>(SELECT id FROM pecas WHERE nome = 'Guia Blank' AND estampo_id = 3 LIMIT 1)</v>
      </c>
      <c r="B30" s="11"/>
      <c r="C30" s="11">
        <v>6</v>
      </c>
      <c r="D30" s="14" t="s">
        <v>70</v>
      </c>
      <c r="E30" s="14" t="s">
        <v>40</v>
      </c>
      <c r="F30" s="11" t="s">
        <v>63</v>
      </c>
      <c r="G30" s="12" t="str">
        <f t="shared" si="0"/>
        <v>((SELECT id FROM pecas WHERE nome = 'Guia Blank' AND estampo_id = 3 LIMIT 1),'6','Rebarbação','Bancada de Ferramentas','1.5'),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Peças</vt:lpstr>
      <vt:lpstr>Processos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Fabio Bitencourt Ribeiro</cp:lastModifiedBy>
  <cp:revision/>
  <dcterms:created xsi:type="dcterms:W3CDTF">2026-08-28T01:54:48Z</dcterms:created>
  <dcterms:modified xsi:type="dcterms:W3CDTF">2026-09-18T01:54:15Z</dcterms:modified>
  <cp:category/>
  <cp:contentStatus/>
</cp:coreProperties>
</file>